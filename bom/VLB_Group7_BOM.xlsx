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ECE_4.2\Microprocessors II\Course project\vertical-lift-bridge\bom\"/>
    </mc:Choice>
  </mc:AlternateContent>
  <xr:revisionPtr revIDLastSave="0" documentId="13_ncr:1_{31EEB7D5-8B46-4615-910A-61FCD0E0DDE7}" xr6:coauthVersionLast="47" xr6:coauthVersionMax="47" xr10:uidLastSave="{00000000-0000-0000-0000-000000000000}"/>
  <bookViews>
    <workbookView xWindow="-110" yWindow="-110" windowWidth="25820" windowHeight="16220" tabRatio="500" xr2:uid="{00000000-000D-0000-FFFF-FFFF00000000}"/>
  </bookViews>
  <sheets>
    <sheet name="BOM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66" i="1" l="1"/>
  <c r="G65" i="1"/>
  <c r="G64" i="1"/>
  <c r="G63" i="1"/>
  <c r="G62" i="1"/>
  <c r="G61" i="1"/>
  <c r="G60" i="1"/>
  <c r="G59" i="1"/>
  <c r="G56" i="1"/>
  <c r="G55" i="1"/>
  <c r="G54" i="1"/>
  <c r="G53" i="1"/>
  <c r="G52" i="1"/>
  <c r="G51" i="1"/>
  <c r="G50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1" i="1" l="1"/>
  <c r="G68" i="1" s="1"/>
</calcChain>
</file>

<file path=xl/sharedStrings.xml><?xml version="1.0" encoding="utf-8"?>
<sst xmlns="http://schemas.openxmlformats.org/spreadsheetml/2006/main" count="240" uniqueCount="194">
  <si>
    <t>#</t>
  </si>
  <si>
    <t>Item</t>
  </si>
  <si>
    <t>Part / Spec</t>
  </si>
  <si>
    <t>Supplier</t>
  </si>
  <si>
    <t>Unit (KES)</t>
  </si>
  <si>
    <t>Qty</t>
  </si>
  <si>
    <t>Total (KES)</t>
  </si>
  <si>
    <t>Justification / Notes</t>
  </si>
  <si>
    <t xml:space="preserve">  MECHANICAL</t>
  </si>
  <si>
    <t>JGA25-370 12V DC gearmotor 100 RPM Hall encoder</t>
  </si>
  <si>
    <t>JGA25-370 100RPM</t>
  </si>
  <si>
    <t>Nerokas</t>
  </si>
  <si>
    <t>Main lift drive — 4.0 kg·cm enough for 175 mm deck + 2× counterweight</t>
  </si>
  <si>
    <t>Aluminium spool/drum Ø30 mm × 25 mm</t>
  </si>
  <si>
    <t>Custom (Sagana machine shop)</t>
  </si>
  <si>
    <t>Sagana</t>
  </si>
  <si>
    <t>Cable wrap drum — keyed to motor 6 mm shaft</t>
  </si>
  <si>
    <t>Braided steel cable Ø1.0 mm (3 m)</t>
  </si>
  <si>
    <t>1mm 7×7 braided</t>
  </si>
  <si>
    <t>Luthuli</t>
  </si>
  <si>
    <t>2× 1 m cables for counterweights + 0.5 m spares</t>
  </si>
  <si>
    <t>Pulley wheel groove Ø50 mm (3D printed)</t>
  </si>
  <si>
    <t>PLA — see CAD</t>
  </si>
  <si>
    <t>In-house print</t>
  </si>
  <si>
    <t>Top of each tower — 2 left + 2 right</t>
  </si>
  <si>
    <t>608 ZZ skate bearing (8×22×7)</t>
  </si>
  <si>
    <t>608ZZ</t>
  </si>
  <si>
    <t>Pulley axles + drum bearings</t>
  </si>
  <si>
    <t>Lead fishing weight 60 g (counterweight fill)</t>
  </si>
  <si>
    <t>Strip — bulk</t>
  </si>
  <si>
    <t>2× 120 g counterweights = 4× 60 g pieces</t>
  </si>
  <si>
    <t>MGN12 linear rail 200 mm + carriage</t>
  </si>
  <si>
    <t>MGN12-200 set</t>
  </si>
  <si>
    <t>Bridge deck guides — 1 per tower</t>
  </si>
  <si>
    <t>SG90 micro servo (barrier arms)</t>
  </si>
  <si>
    <t>SG90 9g</t>
  </si>
  <si>
    <t>Two road barrier servos</t>
  </si>
  <si>
    <t>HC-SR04 ultrasonic module</t>
  </si>
  <si>
    <t>HC-SR04</t>
  </si>
  <si>
    <t>Dual beam direction inference</t>
  </si>
  <si>
    <t>ESP32-CAM AI-Thinker (vehicle vision)</t>
  </si>
  <si>
    <t>ESP32-CAM OV2640</t>
  </si>
  <si>
    <t>Frame-difference vehicle detection on UART2</t>
  </si>
  <si>
    <t>Limit switch microswitch SPDT</t>
  </si>
  <si>
    <t>KW11-3Z lever</t>
  </si>
  <si>
    <t>Pixel</t>
  </si>
  <si>
    <t>Top + bottom limit per tower (2 + 2 redundant)</t>
  </si>
  <si>
    <t>3D-print PLA filament 1 kg (white + grey)</t>
  </si>
  <si>
    <t>PLA generic</t>
  </si>
  <si>
    <t>ASK</t>
  </si>
  <si>
    <t>All printed parts + spares</t>
  </si>
  <si>
    <t>Brass M3 thread insert (knurled)</t>
  </si>
  <si>
    <t>M3 heat-set</t>
  </si>
  <si>
    <t>PCB stand-offs, panels, motor mount</t>
  </si>
  <si>
    <t>M3×8 socket cap screws (pack)</t>
  </si>
  <si>
    <t>M3×8</t>
  </si>
  <si>
    <t>General assembly</t>
  </si>
  <si>
    <t>M3×16 socket cap screws (pack)</t>
  </si>
  <si>
    <t>M3×16</t>
  </si>
  <si>
    <t>Through-mount for towers</t>
  </si>
  <si>
    <t>M8×80 mm bolt + nut (pulley axle)</t>
  </si>
  <si>
    <t>M8×80</t>
  </si>
  <si>
    <t>Top-pulley axles</t>
  </si>
  <si>
    <t>Aluminium L-bracket 25×25×3 mm × 1 m</t>
  </si>
  <si>
    <t>L-stock</t>
  </si>
  <si>
    <t>Tower base reinforcement</t>
  </si>
  <si>
    <t>MDF / plywood base 1200×600×12 mm</t>
  </si>
  <si>
    <t>MDF 12 mm</t>
  </si>
  <si>
    <t>Project footprint base — printed panels overlay</t>
  </si>
  <si>
    <t>Subtotal — MECHANICAL</t>
  </si>
  <si>
    <t xml:space="preserve">  ELECTRONICS — PCB COMPONENTS, TFT, CAM</t>
  </si>
  <si>
    <t>ESP32-WROOM-32E module (38-pin DevKit)</t>
  </si>
  <si>
    <t>ESP32-WROOM-32E</t>
  </si>
  <si>
    <t>Main controller</t>
  </si>
  <si>
    <t>BTS7960 43A H-bridge driver module</t>
  </si>
  <si>
    <t>BTS7960B</t>
  </si>
  <si>
    <t>Motor driver — overspec'd for safety margin</t>
  </si>
  <si>
    <t>AMS1117-3.3 LDO regulator</t>
  </si>
  <si>
    <t>AMS1117-3.3 SOT-223</t>
  </si>
  <si>
    <t>3.3 V rail (1 used, 2 spare)</t>
  </si>
  <si>
    <t>LM2596 step-down buck module 12→5 V</t>
  </si>
  <si>
    <t>LM2596 adj</t>
  </si>
  <si>
    <t>5 V rail for servos + ESP32-CAM</t>
  </si>
  <si>
    <t>12 V / 3 A DC barrel adapter</t>
  </si>
  <si>
    <t>5.5×2.1 mm DC</t>
  </si>
  <si>
    <t>Primary supply</t>
  </si>
  <si>
    <t>DC barrel jack 5.5×2.1 mm panel mount</t>
  </si>
  <si>
    <t>DCJ0202</t>
  </si>
  <si>
    <t>Power input on PCB</t>
  </si>
  <si>
    <t>DC-DC Schottky 5 A SS54</t>
  </si>
  <si>
    <t>SS54</t>
  </si>
  <si>
    <t>Reverse-polarity protection</t>
  </si>
  <si>
    <t>Polyfuse PTC 2 A hold (12 V rail)</t>
  </si>
  <si>
    <t>RXEF200</t>
  </si>
  <si>
    <t>Resettable fuse on 12 V input</t>
  </si>
  <si>
    <t>TVS diode SMBJ15CA (transient on 12 V)</t>
  </si>
  <si>
    <t>SMBJ15CA</t>
  </si>
  <si>
    <t>Surge protection</t>
  </si>
  <si>
    <t>AO3400A N-MOSFET (backlight + buzzer)</t>
  </si>
  <si>
    <t>AO3400A SOT-23</t>
  </si>
  <si>
    <t>Logic-level switches</t>
  </si>
  <si>
    <t>2N7000 N-FET (relay coil drive)</t>
  </si>
  <si>
    <t>2N7000</t>
  </si>
  <si>
    <t>Low-side switch for relay</t>
  </si>
  <si>
    <t>SRD-05VDC-SL-C 5 V relay (E-stop chain)</t>
  </si>
  <si>
    <t>SRD-05VDC-SL-C</t>
  </si>
  <si>
    <t>Motor power kill</t>
  </si>
  <si>
    <t>74HC595 8-bit shift register (DIP-16)</t>
  </si>
  <si>
    <t>74HC595</t>
  </si>
  <si>
    <t>Traffic-light LED chain (1 + 1 spare)</t>
  </si>
  <si>
    <t>XPT2046 + ILI9341 2.8" 240×320 TFT touch</t>
  </si>
  <si>
    <t>TJCTM24028-SPI</t>
  </si>
  <si>
    <t>Operator dashboard — TN panel</t>
  </si>
  <si>
    <t>Passive piezo buzzer 12 mm</t>
  </si>
  <si>
    <t>Generic 12 mm</t>
  </si>
  <si>
    <t>Alarm + chirp</t>
  </si>
  <si>
    <t>Mushroom E-stop NC switch (panel)</t>
  </si>
  <si>
    <t>16 mm NC mushroom</t>
  </si>
  <si>
    <t>Hard safety stop</t>
  </si>
  <si>
    <t>Tactile push-button 6×6 mm (panel)</t>
  </si>
  <si>
    <t>6×6×5 mm</t>
  </si>
  <si>
    <t>Front-panel resistor-ladder buttons</t>
  </si>
  <si>
    <t>Resistor ladder kit 1 kΩ × 5 (1 % 0805)</t>
  </si>
  <si>
    <t>1 kΩ 1 % 0805</t>
  </si>
  <si>
    <t>Button ladder + voltage dividers</t>
  </si>
  <si>
    <t>0805 resistor assortment kit</t>
  </si>
  <si>
    <t>Yageo 0805</t>
  </si>
  <si>
    <t>All passive resistors</t>
  </si>
  <si>
    <t>0805 / SMD-A capacitor assortment</t>
  </si>
  <si>
    <t>100 nF / 10 µF / 100 µF</t>
  </si>
  <si>
    <t>Decoupling + bulk caps</t>
  </si>
  <si>
    <t>LED 0805 R/Y/G traffic chain</t>
  </si>
  <si>
    <t>0805 SMD LED</t>
  </si>
  <si>
    <t>6× road + 6× marine + spares</t>
  </si>
  <si>
    <t>JST-XH 4-pin connector + crimp pins</t>
  </si>
  <si>
    <t>JST-XH 2.54</t>
  </si>
  <si>
    <t>TFT, CAM, sensor harnesses</t>
  </si>
  <si>
    <t>USB-UART CH340G module (programming header)</t>
  </si>
  <si>
    <t>CH340G</t>
  </si>
  <si>
    <t>Backup programmer — DevKit has built-in</t>
  </si>
  <si>
    <t>Subtotal — ELECTRONICS — PCB COMPONENTS, TFT, CAM</t>
  </si>
  <si>
    <t xml:space="preserve">  PCB FABRICATION &amp; ASSEMBLY</t>
  </si>
  <si>
    <t>PCB fab 100×80 mm 2-layer FR4 HASL-LF (qty 5)</t>
  </si>
  <si>
    <t>JLCPCB / PCBWay</t>
  </si>
  <si>
    <t>Online (DHL)</t>
  </si>
  <si>
    <t>Includes shipping to KE — ~1.6 mm, matte black mask</t>
  </si>
  <si>
    <t>Stencil 100×80 mm framed</t>
  </si>
  <si>
    <t>JLCPCB stencil</t>
  </si>
  <si>
    <t>Online</t>
  </si>
  <si>
    <t>Optional but speeds reflow</t>
  </si>
  <si>
    <t>Solder paste Sn63/Pb37 35 g (no-clean)</t>
  </si>
  <si>
    <t>Mechanic 35 g</t>
  </si>
  <si>
    <t>For SMD reflow</t>
  </si>
  <si>
    <t>0.6 mm leaded solder wire 100 g</t>
  </si>
  <si>
    <t>60/40</t>
  </si>
  <si>
    <t>Through-hole + rework</t>
  </si>
  <si>
    <t>Flux pen / paste no-clean</t>
  </si>
  <si>
    <t>AMTECH 559</t>
  </si>
  <si>
    <t>Rework aid</t>
  </si>
  <si>
    <t>Isopropyl alcohol 250 mL 99 %</t>
  </si>
  <si>
    <t>IPA</t>
  </si>
  <si>
    <t>Board cleaning</t>
  </si>
  <si>
    <t>Subtotal — PCB FABRICATION &amp; ASSEMBLY</t>
  </si>
  <si>
    <t xml:space="preserve">  CONSUMABLES &amp; MISC</t>
  </si>
  <si>
    <t>Heat-shrink tubing assortment</t>
  </si>
  <si>
    <t>1.5–6 mm pack</t>
  </si>
  <si>
    <t>Wire termination</t>
  </si>
  <si>
    <t>Hookup wire 22 AWG silicone (3 colors)</t>
  </si>
  <si>
    <t>22AWG silicone</t>
  </si>
  <si>
    <t>Power harness — 5 m total</t>
  </si>
  <si>
    <t>Hookup wire 26 AWG ribbon</t>
  </si>
  <si>
    <t>26AWG ribbon</t>
  </si>
  <si>
    <t>Signal harness</t>
  </si>
  <si>
    <t>Cable ties 100 mm + 200 mm</t>
  </si>
  <si>
    <t>Mixed pack</t>
  </si>
  <si>
    <t>Routing</t>
  </si>
  <si>
    <t>Hot-melt glue stick 7 mm × 30</t>
  </si>
  <si>
    <t>EVA glue stick</t>
  </si>
  <si>
    <t>Print joining + strain relief</t>
  </si>
  <si>
    <t>Project enclosure ABS 150×100×60 mm</t>
  </si>
  <si>
    <t>Generic ABS</t>
  </si>
  <si>
    <t>Backup if 3D-printed enclosure fails</t>
  </si>
  <si>
    <t>Acrylic 3 mm × A4 (deck overlay decals)</t>
  </si>
  <si>
    <t>3 mm clear</t>
  </si>
  <si>
    <t>Deck markings overlay</t>
  </si>
  <si>
    <t>Subtotal — CONSUMABLES &amp; MISC</t>
  </si>
  <si>
    <t>GRAND TOTAL (KES)</t>
  </si>
  <si>
    <t>Notes:</t>
  </si>
  <si>
    <t>All prices in Kenyan Shillings (KES), VAT-inclusive where applicable.</t>
  </si>
  <si>
    <t>Supplier shorthand: Nerokas (Nerokas Cyber Systems, Nairobi); Pixel (Pixel Electric, Luthuli Avenue);</t>
  </si>
  <si>
    <t xml:space="preserve">  ASK (ASK Electronics, Tom Mboya); K-Technics (online KE); Luthuli/Sagana (street suppliers).</t>
  </si>
  <si>
    <t>PCB fab quoted JLCPCB 5pcs 100×80 mm 2-layer + DHL ~7 days to Nairobi (≈ KES 1,900 all-in).</t>
  </si>
  <si>
    <t>Counterweights: 4× 60 g lead = 240 g total -&gt; 120 g per side, balances 240 g deck assy with 1.0× SF.</t>
  </si>
  <si>
    <t>Lead unit: BLUE = manually entered input; BLACK = formula. Adjust E:F cells to scale procurement.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</si>
</sst>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10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1"/>
      <name val="Arial"/>
      <charset val="1"/>
    </font>
    <font>
      <b/>
      <sz val="12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305496"/>
        <bgColor rgb="FF1F4E78"/>
      </patternFill>
    </fill>
    <fill>
      <patternFill patternType="solid">
        <fgColor rgb="FFFCE4D6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9" fillId="0" borderId="0" xfId="0" applyFont="1"/>
    <xf numFmtId="0" fontId="2" fillId="3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0" fillId="4" borderId="1" xfId="0" applyFill="1" applyBorder="1"/>
    <xf numFmtId="0" fontId="6" fillId="4" borderId="1" xfId="0" applyFont="1" applyFill="1" applyBorder="1"/>
    <xf numFmtId="164" fontId="6" fillId="4" borderId="1" xfId="0" applyNumberFormat="1" applyFont="1" applyFill="1" applyBorder="1"/>
    <xf numFmtId="0" fontId="7" fillId="4" borderId="1" xfId="0" applyFont="1" applyFill="1" applyBorder="1"/>
    <xf numFmtId="164" fontId="7" fillId="4" borderId="1" xfId="0" applyNumberFormat="1" applyFont="1" applyFill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tabSelected="1" zoomScaleNormal="100" workbookViewId="0">
      <pane ySplit="1" topLeftCell="A59" activePane="bottomLeft" state="frozen"/>
      <selection pane="bottomLeft" activeCell="G68" sqref="G68"/>
    </sheetView>
  </sheetViews>
  <sheetFormatPr defaultColWidth="8.6328125" defaultRowHeight="14.5" x14ac:dyDescent="0.35"/>
  <cols>
    <col min="1" max="1" width="5" customWidth="1"/>
    <col min="2" max="2" width="42" customWidth="1"/>
    <col min="3" max="3" width="28" customWidth="1"/>
    <col min="4" max="4" width="14" customWidth="1"/>
    <col min="5" max="5" width="12" customWidth="1"/>
    <col min="6" max="6" width="7" customWidth="1"/>
    <col min="7" max="7" width="14" customWidth="1"/>
    <col min="8" max="8" width="50" customWidth="1"/>
  </cols>
  <sheetData>
    <row r="1" spans="1:8" ht="27.7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5" customHeight="1" x14ac:dyDescent="0.35">
      <c r="A2" s="2" t="s">
        <v>8</v>
      </c>
      <c r="B2" s="2"/>
      <c r="C2" s="2"/>
      <c r="D2" s="2"/>
      <c r="E2" s="2"/>
      <c r="F2" s="2"/>
      <c r="G2" s="2"/>
      <c r="H2" s="2"/>
    </row>
    <row r="3" spans="1:8" ht="25" x14ac:dyDescent="0.35">
      <c r="A3" s="4">
        <v>1</v>
      </c>
      <c r="B3" s="5" t="s">
        <v>9</v>
      </c>
      <c r="C3" s="5" t="s">
        <v>10</v>
      </c>
      <c r="D3" s="4" t="s">
        <v>11</v>
      </c>
      <c r="E3" s="6">
        <v>1450</v>
      </c>
      <c r="F3" s="7">
        <v>1</v>
      </c>
      <c r="G3" s="8">
        <f t="shared" ref="G3:G20" si="0">E3*F3</f>
        <v>1450</v>
      </c>
      <c r="H3" s="5" t="s">
        <v>12</v>
      </c>
    </row>
    <row r="4" spans="1:8" x14ac:dyDescent="0.35">
      <c r="A4" s="4">
        <v>2</v>
      </c>
      <c r="B4" s="5" t="s">
        <v>13</v>
      </c>
      <c r="C4" s="5" t="s">
        <v>14</v>
      </c>
      <c r="D4" s="4" t="s">
        <v>15</v>
      </c>
      <c r="E4" s="6">
        <v>600</v>
      </c>
      <c r="F4" s="7">
        <v>1</v>
      </c>
      <c r="G4" s="8">
        <f t="shared" si="0"/>
        <v>600</v>
      </c>
      <c r="H4" s="5" t="s">
        <v>16</v>
      </c>
    </row>
    <row r="5" spans="1:8" x14ac:dyDescent="0.35">
      <c r="A5" s="4">
        <v>3</v>
      </c>
      <c r="B5" s="5" t="s">
        <v>17</v>
      </c>
      <c r="C5" s="5" t="s">
        <v>18</v>
      </c>
      <c r="D5" s="4" t="s">
        <v>19</v>
      </c>
      <c r="E5" s="6">
        <v>350</v>
      </c>
      <c r="F5" s="7">
        <v>1</v>
      </c>
      <c r="G5" s="8">
        <f t="shared" si="0"/>
        <v>350</v>
      </c>
      <c r="H5" s="5" t="s">
        <v>20</v>
      </c>
    </row>
    <row r="6" spans="1:8" x14ac:dyDescent="0.35">
      <c r="A6" s="4">
        <v>4</v>
      </c>
      <c r="B6" s="5" t="s">
        <v>21</v>
      </c>
      <c r="C6" s="5" t="s">
        <v>22</v>
      </c>
      <c r="D6" s="4" t="s">
        <v>23</v>
      </c>
      <c r="E6" s="6">
        <v>0</v>
      </c>
      <c r="F6" s="7">
        <v>4</v>
      </c>
      <c r="G6" s="8">
        <f t="shared" si="0"/>
        <v>0</v>
      </c>
      <c r="H6" s="5" t="s">
        <v>24</v>
      </c>
    </row>
    <row r="7" spans="1:8" x14ac:dyDescent="0.35">
      <c r="A7" s="4">
        <v>5</v>
      </c>
      <c r="B7" s="5" t="s">
        <v>25</v>
      </c>
      <c r="C7" s="5" t="s">
        <v>26</v>
      </c>
      <c r="D7" s="4" t="s">
        <v>19</v>
      </c>
      <c r="E7" s="6">
        <v>50</v>
      </c>
      <c r="F7" s="7">
        <v>8</v>
      </c>
      <c r="G7" s="8">
        <f t="shared" si="0"/>
        <v>400</v>
      </c>
      <c r="H7" s="5" t="s">
        <v>27</v>
      </c>
    </row>
    <row r="8" spans="1:8" x14ac:dyDescent="0.35">
      <c r="A8" s="4">
        <v>6</v>
      </c>
      <c r="B8" s="5" t="s">
        <v>28</v>
      </c>
      <c r="C8" s="5" t="s">
        <v>29</v>
      </c>
      <c r="D8" s="4" t="s">
        <v>19</v>
      </c>
      <c r="E8" s="6">
        <v>80</v>
      </c>
      <c r="F8" s="7">
        <v>4</v>
      </c>
      <c r="G8" s="8">
        <f t="shared" si="0"/>
        <v>320</v>
      </c>
      <c r="H8" s="5" t="s">
        <v>30</v>
      </c>
    </row>
    <row r="9" spans="1:8" x14ac:dyDescent="0.35">
      <c r="A9" s="4">
        <v>7</v>
      </c>
      <c r="B9" s="5" t="s">
        <v>31</v>
      </c>
      <c r="C9" s="5" t="s">
        <v>32</v>
      </c>
      <c r="D9" s="4" t="s">
        <v>11</v>
      </c>
      <c r="E9" s="6">
        <v>1250</v>
      </c>
      <c r="F9" s="7">
        <v>2</v>
      </c>
      <c r="G9" s="8">
        <f t="shared" si="0"/>
        <v>2500</v>
      </c>
      <c r="H9" s="5" t="s">
        <v>33</v>
      </c>
    </row>
    <row r="10" spans="1:8" x14ac:dyDescent="0.35">
      <c r="A10" s="4">
        <v>8</v>
      </c>
      <c r="B10" s="5" t="s">
        <v>34</v>
      </c>
      <c r="C10" s="5" t="s">
        <v>35</v>
      </c>
      <c r="D10" s="4" t="s">
        <v>11</v>
      </c>
      <c r="E10" s="6">
        <v>250</v>
      </c>
      <c r="F10" s="7">
        <v>2</v>
      </c>
      <c r="G10" s="8">
        <f t="shared" si="0"/>
        <v>500</v>
      </c>
      <c r="H10" s="5" t="s">
        <v>36</v>
      </c>
    </row>
    <row r="11" spans="1:8" x14ac:dyDescent="0.35">
      <c r="A11" s="4">
        <v>9</v>
      </c>
      <c r="B11" s="5" t="s">
        <v>37</v>
      </c>
      <c r="C11" s="5" t="s">
        <v>38</v>
      </c>
      <c r="D11" s="4" t="s">
        <v>11</v>
      </c>
      <c r="E11" s="6">
        <v>180</v>
      </c>
      <c r="F11" s="7">
        <v>4</v>
      </c>
      <c r="G11" s="8">
        <f t="shared" si="0"/>
        <v>720</v>
      </c>
      <c r="H11" s="5" t="s">
        <v>39</v>
      </c>
    </row>
    <row r="12" spans="1:8" x14ac:dyDescent="0.35">
      <c r="A12" s="4">
        <v>10</v>
      </c>
      <c r="B12" s="5" t="s">
        <v>40</v>
      </c>
      <c r="C12" s="5" t="s">
        <v>41</v>
      </c>
      <c r="D12" s="4" t="s">
        <v>11</v>
      </c>
      <c r="E12" s="6">
        <v>1500</v>
      </c>
      <c r="F12" s="7">
        <v>1</v>
      </c>
      <c r="G12" s="8">
        <f t="shared" si="0"/>
        <v>1500</v>
      </c>
      <c r="H12" s="5" t="s">
        <v>42</v>
      </c>
    </row>
    <row r="13" spans="1:8" x14ac:dyDescent="0.35">
      <c r="A13" s="4">
        <v>11</v>
      </c>
      <c r="B13" s="5" t="s">
        <v>43</v>
      </c>
      <c r="C13" s="5" t="s">
        <v>44</v>
      </c>
      <c r="D13" s="4" t="s">
        <v>45</v>
      </c>
      <c r="E13" s="6">
        <v>80</v>
      </c>
      <c r="F13" s="7">
        <v>4</v>
      </c>
      <c r="G13" s="8">
        <f t="shared" si="0"/>
        <v>320</v>
      </c>
      <c r="H13" s="5" t="s">
        <v>46</v>
      </c>
    </row>
    <row r="14" spans="1:8" x14ac:dyDescent="0.35">
      <c r="A14" s="4">
        <v>12</v>
      </c>
      <c r="B14" s="5" t="s">
        <v>47</v>
      </c>
      <c r="C14" s="5" t="s">
        <v>48</v>
      </c>
      <c r="D14" s="4" t="s">
        <v>49</v>
      </c>
      <c r="E14" s="6">
        <v>1400</v>
      </c>
      <c r="F14" s="7">
        <v>1</v>
      </c>
      <c r="G14" s="8">
        <f t="shared" si="0"/>
        <v>1400</v>
      </c>
      <c r="H14" s="5" t="s">
        <v>50</v>
      </c>
    </row>
    <row r="15" spans="1:8" x14ac:dyDescent="0.35">
      <c r="A15" s="4">
        <v>13</v>
      </c>
      <c r="B15" s="5" t="s">
        <v>51</v>
      </c>
      <c r="C15" s="5" t="s">
        <v>52</v>
      </c>
      <c r="D15" s="4" t="s">
        <v>11</v>
      </c>
      <c r="E15" s="6">
        <v>12</v>
      </c>
      <c r="F15" s="7">
        <v>50</v>
      </c>
      <c r="G15" s="8">
        <f t="shared" si="0"/>
        <v>600</v>
      </c>
      <c r="H15" s="5" t="s">
        <v>53</v>
      </c>
    </row>
    <row r="16" spans="1:8" x14ac:dyDescent="0.35">
      <c r="A16" s="4">
        <v>14</v>
      </c>
      <c r="B16" s="5" t="s">
        <v>54</v>
      </c>
      <c r="C16" s="5" t="s">
        <v>55</v>
      </c>
      <c r="D16" s="4" t="s">
        <v>19</v>
      </c>
      <c r="E16" s="6">
        <v>10</v>
      </c>
      <c r="F16" s="7">
        <v>30</v>
      </c>
      <c r="G16" s="8">
        <f t="shared" si="0"/>
        <v>300</v>
      </c>
      <c r="H16" s="5" t="s">
        <v>56</v>
      </c>
    </row>
    <row r="17" spans="1:8" x14ac:dyDescent="0.35">
      <c r="A17" s="4">
        <v>15</v>
      </c>
      <c r="B17" s="5" t="s">
        <v>57</v>
      </c>
      <c r="C17" s="5" t="s">
        <v>58</v>
      </c>
      <c r="D17" s="4" t="s">
        <v>19</v>
      </c>
      <c r="E17" s="6">
        <v>12</v>
      </c>
      <c r="F17" s="7">
        <v>20</v>
      </c>
      <c r="G17" s="8">
        <f t="shared" si="0"/>
        <v>240</v>
      </c>
      <c r="H17" s="5" t="s">
        <v>59</v>
      </c>
    </row>
    <row r="18" spans="1:8" x14ac:dyDescent="0.35">
      <c r="A18" s="4">
        <v>16</v>
      </c>
      <c r="B18" s="5" t="s">
        <v>60</v>
      </c>
      <c r="C18" s="5" t="s">
        <v>61</v>
      </c>
      <c r="D18" s="4" t="s">
        <v>19</v>
      </c>
      <c r="E18" s="6">
        <v>60</v>
      </c>
      <c r="F18" s="7">
        <v>2</v>
      </c>
      <c r="G18" s="8">
        <f t="shared" si="0"/>
        <v>120</v>
      </c>
      <c r="H18" s="5" t="s">
        <v>62</v>
      </c>
    </row>
    <row r="19" spans="1:8" x14ac:dyDescent="0.35">
      <c r="A19" s="4">
        <v>17</v>
      </c>
      <c r="B19" s="5" t="s">
        <v>63</v>
      </c>
      <c r="C19" s="5" t="s">
        <v>64</v>
      </c>
      <c r="D19" s="4" t="s">
        <v>19</v>
      </c>
      <c r="E19" s="6">
        <v>350</v>
      </c>
      <c r="F19" s="7">
        <v>1</v>
      </c>
      <c r="G19" s="8">
        <f t="shared" si="0"/>
        <v>350</v>
      </c>
      <c r="H19" s="5" t="s">
        <v>65</v>
      </c>
    </row>
    <row r="20" spans="1:8" x14ac:dyDescent="0.35">
      <c r="A20" s="4">
        <v>18</v>
      </c>
      <c r="B20" s="5" t="s">
        <v>66</v>
      </c>
      <c r="C20" s="5" t="s">
        <v>67</v>
      </c>
      <c r="D20" s="4" t="s">
        <v>15</v>
      </c>
      <c r="E20" s="6">
        <v>1200</v>
      </c>
      <c r="F20" s="7">
        <v>1</v>
      </c>
      <c r="G20" s="8">
        <f t="shared" si="0"/>
        <v>1200</v>
      </c>
      <c r="H20" s="5" t="s">
        <v>68</v>
      </c>
    </row>
    <row r="21" spans="1:8" x14ac:dyDescent="0.35">
      <c r="A21" s="9"/>
      <c r="B21" s="10" t="s">
        <v>69</v>
      </c>
      <c r="C21" s="9"/>
      <c r="D21" s="9"/>
      <c r="E21" s="9"/>
      <c r="F21" s="9"/>
      <c r="G21" s="11">
        <f>SUM(G3:G20)</f>
        <v>12870</v>
      </c>
      <c r="H21" s="9"/>
    </row>
    <row r="23" spans="1:8" ht="15" customHeight="1" x14ac:dyDescent="0.35">
      <c r="A23" s="2" t="s">
        <v>70</v>
      </c>
      <c r="B23" s="2"/>
      <c r="C23" s="2"/>
      <c r="D23" s="2"/>
      <c r="E23" s="2"/>
      <c r="F23" s="2"/>
      <c r="G23" s="2"/>
      <c r="H23" s="2"/>
    </row>
    <row r="24" spans="1:8" x14ac:dyDescent="0.35">
      <c r="A24" s="4">
        <v>1</v>
      </c>
      <c r="B24" s="5" t="s">
        <v>71</v>
      </c>
      <c r="C24" s="5" t="s">
        <v>72</v>
      </c>
      <c r="D24" s="4" t="s">
        <v>11</v>
      </c>
      <c r="E24" s="6">
        <v>850</v>
      </c>
      <c r="F24" s="7">
        <v>1</v>
      </c>
      <c r="G24" s="8">
        <f t="shared" ref="G24:G46" si="1">E24*F24</f>
        <v>850</v>
      </c>
      <c r="H24" s="5" t="s">
        <v>73</v>
      </c>
    </row>
    <row r="25" spans="1:8" x14ac:dyDescent="0.35">
      <c r="A25" s="4">
        <v>2</v>
      </c>
      <c r="B25" s="5" t="s">
        <v>74</v>
      </c>
      <c r="C25" s="5" t="s">
        <v>75</v>
      </c>
      <c r="D25" s="4" t="s">
        <v>11</v>
      </c>
      <c r="E25" s="6">
        <v>1100</v>
      </c>
      <c r="F25" s="7">
        <v>1</v>
      </c>
      <c r="G25" s="8">
        <f t="shared" si="1"/>
        <v>1100</v>
      </c>
      <c r="H25" s="5" t="s">
        <v>76</v>
      </c>
    </row>
    <row r="26" spans="1:8" x14ac:dyDescent="0.35">
      <c r="A26" s="4">
        <v>3</v>
      </c>
      <c r="B26" s="5" t="s">
        <v>77</v>
      </c>
      <c r="C26" s="5" t="s">
        <v>78</v>
      </c>
      <c r="D26" s="4" t="s">
        <v>45</v>
      </c>
      <c r="E26" s="6">
        <v>35</v>
      </c>
      <c r="F26" s="7">
        <v>3</v>
      </c>
      <c r="G26" s="8">
        <f t="shared" si="1"/>
        <v>105</v>
      </c>
      <c r="H26" s="5" t="s">
        <v>79</v>
      </c>
    </row>
    <row r="27" spans="1:8" x14ac:dyDescent="0.35">
      <c r="A27" s="4">
        <v>4</v>
      </c>
      <c r="B27" s="5" t="s">
        <v>80</v>
      </c>
      <c r="C27" s="5" t="s">
        <v>81</v>
      </c>
      <c r="D27" s="4" t="s">
        <v>11</v>
      </c>
      <c r="E27" s="6">
        <v>220</v>
      </c>
      <c r="F27" s="7">
        <v>1</v>
      </c>
      <c r="G27" s="8">
        <f t="shared" si="1"/>
        <v>220</v>
      </c>
      <c r="H27" s="5" t="s">
        <v>82</v>
      </c>
    </row>
    <row r="28" spans="1:8" x14ac:dyDescent="0.35">
      <c r="A28" s="4">
        <v>5</v>
      </c>
      <c r="B28" s="5" t="s">
        <v>83</v>
      </c>
      <c r="C28" s="5" t="s">
        <v>84</v>
      </c>
      <c r="D28" s="4" t="s">
        <v>11</v>
      </c>
      <c r="E28" s="6">
        <v>600</v>
      </c>
      <c r="F28" s="7">
        <v>1</v>
      </c>
      <c r="G28" s="8">
        <f t="shared" si="1"/>
        <v>600</v>
      </c>
      <c r="H28" s="5" t="s">
        <v>85</v>
      </c>
    </row>
    <row r="29" spans="1:8" x14ac:dyDescent="0.35">
      <c r="A29" s="4">
        <v>6</v>
      </c>
      <c r="B29" s="5" t="s">
        <v>86</v>
      </c>
      <c r="C29" s="5" t="s">
        <v>87</v>
      </c>
      <c r="D29" s="4" t="s">
        <v>45</v>
      </c>
      <c r="E29" s="6">
        <v>45</v>
      </c>
      <c r="F29" s="7">
        <v>1</v>
      </c>
      <c r="G29" s="8">
        <f t="shared" si="1"/>
        <v>45</v>
      </c>
      <c r="H29" s="5" t="s">
        <v>88</v>
      </c>
    </row>
    <row r="30" spans="1:8" x14ac:dyDescent="0.35">
      <c r="A30" s="4">
        <v>7</v>
      </c>
      <c r="B30" s="5" t="s">
        <v>89</v>
      </c>
      <c r="C30" s="5" t="s">
        <v>90</v>
      </c>
      <c r="D30" s="4" t="s">
        <v>45</v>
      </c>
      <c r="E30" s="6">
        <v>25</v>
      </c>
      <c r="F30" s="7">
        <v>2</v>
      </c>
      <c r="G30" s="8">
        <f t="shared" si="1"/>
        <v>50</v>
      </c>
      <c r="H30" s="5" t="s">
        <v>91</v>
      </c>
    </row>
    <row r="31" spans="1:8" x14ac:dyDescent="0.35">
      <c r="A31" s="4">
        <v>8</v>
      </c>
      <c r="B31" s="5" t="s">
        <v>92</v>
      </c>
      <c r="C31" s="5" t="s">
        <v>93</v>
      </c>
      <c r="D31" s="4" t="s">
        <v>45</v>
      </c>
      <c r="E31" s="6">
        <v>40</v>
      </c>
      <c r="F31" s="7">
        <v>1</v>
      </c>
      <c r="G31" s="8">
        <f t="shared" si="1"/>
        <v>40</v>
      </c>
      <c r="H31" s="5" t="s">
        <v>94</v>
      </c>
    </row>
    <row r="32" spans="1:8" x14ac:dyDescent="0.35">
      <c r="A32" s="4">
        <v>9</v>
      </c>
      <c r="B32" s="5" t="s">
        <v>95</v>
      </c>
      <c r="C32" s="5" t="s">
        <v>96</v>
      </c>
      <c r="D32" s="4" t="s">
        <v>45</v>
      </c>
      <c r="E32" s="6">
        <v>35</v>
      </c>
      <c r="F32" s="7">
        <v>1</v>
      </c>
      <c r="G32" s="8">
        <f t="shared" si="1"/>
        <v>35</v>
      </c>
      <c r="H32" s="5" t="s">
        <v>97</v>
      </c>
    </row>
    <row r="33" spans="1:8" x14ac:dyDescent="0.35">
      <c r="A33" s="4">
        <v>10</v>
      </c>
      <c r="B33" s="5" t="s">
        <v>98</v>
      </c>
      <c r="C33" s="5" t="s">
        <v>99</v>
      </c>
      <c r="D33" s="4" t="s">
        <v>45</v>
      </c>
      <c r="E33" s="6">
        <v>25</v>
      </c>
      <c r="F33" s="7">
        <v>4</v>
      </c>
      <c r="G33" s="8">
        <f t="shared" si="1"/>
        <v>100</v>
      </c>
      <c r="H33" s="5" t="s">
        <v>100</v>
      </c>
    </row>
    <row r="34" spans="1:8" x14ac:dyDescent="0.35">
      <c r="A34" s="4">
        <v>11</v>
      </c>
      <c r="B34" s="5" t="s">
        <v>101</v>
      </c>
      <c r="C34" s="5" t="s">
        <v>102</v>
      </c>
      <c r="D34" s="4" t="s">
        <v>45</v>
      </c>
      <c r="E34" s="6">
        <v>20</v>
      </c>
      <c r="F34" s="7">
        <v>2</v>
      </c>
      <c r="G34" s="8">
        <f t="shared" si="1"/>
        <v>40</v>
      </c>
      <c r="H34" s="5" t="s">
        <v>103</v>
      </c>
    </row>
    <row r="35" spans="1:8" x14ac:dyDescent="0.35">
      <c r="A35" s="4">
        <v>12</v>
      </c>
      <c r="B35" s="5" t="s">
        <v>104</v>
      </c>
      <c r="C35" s="5" t="s">
        <v>105</v>
      </c>
      <c r="D35" s="4" t="s">
        <v>11</v>
      </c>
      <c r="E35" s="6">
        <v>90</v>
      </c>
      <c r="F35" s="7">
        <v>1</v>
      </c>
      <c r="G35" s="8">
        <f t="shared" si="1"/>
        <v>90</v>
      </c>
      <c r="H35" s="5" t="s">
        <v>106</v>
      </c>
    </row>
    <row r="36" spans="1:8" x14ac:dyDescent="0.35">
      <c r="A36" s="4">
        <v>13</v>
      </c>
      <c r="B36" s="5" t="s">
        <v>107</v>
      </c>
      <c r="C36" s="5" t="s">
        <v>108</v>
      </c>
      <c r="D36" s="4" t="s">
        <v>45</v>
      </c>
      <c r="E36" s="6">
        <v>25</v>
      </c>
      <c r="F36" s="7">
        <v>2</v>
      </c>
      <c r="G36" s="8">
        <f t="shared" si="1"/>
        <v>50</v>
      </c>
      <c r="H36" s="5" t="s">
        <v>109</v>
      </c>
    </row>
    <row r="37" spans="1:8" x14ac:dyDescent="0.35">
      <c r="A37" s="4">
        <v>14</v>
      </c>
      <c r="B37" s="5" t="s">
        <v>110</v>
      </c>
      <c r="C37" s="5" t="s">
        <v>111</v>
      </c>
      <c r="D37" s="4" t="s">
        <v>11</v>
      </c>
      <c r="E37" s="6">
        <v>1200</v>
      </c>
      <c r="F37" s="7">
        <v>1</v>
      </c>
      <c r="G37" s="8">
        <f t="shared" si="1"/>
        <v>1200</v>
      </c>
      <c r="H37" s="5" t="s">
        <v>112</v>
      </c>
    </row>
    <row r="38" spans="1:8" x14ac:dyDescent="0.35">
      <c r="A38" s="4">
        <v>15</v>
      </c>
      <c r="B38" s="5" t="s">
        <v>113</v>
      </c>
      <c r="C38" s="5" t="s">
        <v>114</v>
      </c>
      <c r="D38" s="4" t="s">
        <v>45</v>
      </c>
      <c r="E38" s="6">
        <v>50</v>
      </c>
      <c r="F38" s="7">
        <v>1</v>
      </c>
      <c r="G38" s="8">
        <f t="shared" si="1"/>
        <v>50</v>
      </c>
      <c r="H38" s="5" t="s">
        <v>115</v>
      </c>
    </row>
    <row r="39" spans="1:8" x14ac:dyDescent="0.35">
      <c r="A39" s="4">
        <v>16</v>
      </c>
      <c r="B39" s="5" t="s">
        <v>116</v>
      </c>
      <c r="C39" s="5" t="s">
        <v>117</v>
      </c>
      <c r="D39" s="4" t="s">
        <v>11</v>
      </c>
      <c r="E39" s="6">
        <v>320</v>
      </c>
      <c r="F39" s="7">
        <v>1</v>
      </c>
      <c r="G39" s="8">
        <f t="shared" si="1"/>
        <v>320</v>
      </c>
      <c r="H39" s="5" t="s">
        <v>118</v>
      </c>
    </row>
    <row r="40" spans="1:8" x14ac:dyDescent="0.35">
      <c r="A40" s="4">
        <v>17</v>
      </c>
      <c r="B40" s="5" t="s">
        <v>119</v>
      </c>
      <c r="C40" s="5" t="s">
        <v>120</v>
      </c>
      <c r="D40" s="4" t="s">
        <v>45</v>
      </c>
      <c r="E40" s="6">
        <v>8</v>
      </c>
      <c r="F40" s="7">
        <v>6</v>
      </c>
      <c r="G40" s="8">
        <f t="shared" si="1"/>
        <v>48</v>
      </c>
      <c r="H40" s="5" t="s">
        <v>121</v>
      </c>
    </row>
    <row r="41" spans="1:8" x14ac:dyDescent="0.35">
      <c r="A41" s="4">
        <v>18</v>
      </c>
      <c r="B41" s="5" t="s">
        <v>122</v>
      </c>
      <c r="C41" s="5" t="s">
        <v>123</v>
      </c>
      <c r="D41" s="4" t="s">
        <v>45</v>
      </c>
      <c r="E41" s="6">
        <v>5</v>
      </c>
      <c r="F41" s="7">
        <v>10</v>
      </c>
      <c r="G41" s="8">
        <f t="shared" si="1"/>
        <v>50</v>
      </c>
      <c r="H41" s="5" t="s">
        <v>124</v>
      </c>
    </row>
    <row r="42" spans="1:8" x14ac:dyDescent="0.35">
      <c r="A42" s="4">
        <v>19</v>
      </c>
      <c r="B42" s="5" t="s">
        <v>125</v>
      </c>
      <c r="C42" s="5" t="s">
        <v>126</v>
      </c>
      <c r="D42" s="4" t="s">
        <v>45</v>
      </c>
      <c r="E42" s="6">
        <v>250</v>
      </c>
      <c r="F42" s="7">
        <v>1</v>
      </c>
      <c r="G42" s="8">
        <f t="shared" si="1"/>
        <v>250</v>
      </c>
      <c r="H42" s="5" t="s">
        <v>127</v>
      </c>
    </row>
    <row r="43" spans="1:8" x14ac:dyDescent="0.35">
      <c r="A43" s="4">
        <v>20</v>
      </c>
      <c r="B43" s="5" t="s">
        <v>128</v>
      </c>
      <c r="C43" s="5" t="s">
        <v>129</v>
      </c>
      <c r="D43" s="4" t="s">
        <v>45</v>
      </c>
      <c r="E43" s="6">
        <v>280</v>
      </c>
      <c r="F43" s="7">
        <v>1</v>
      </c>
      <c r="G43" s="8">
        <f t="shared" si="1"/>
        <v>280</v>
      </c>
      <c r="H43" s="5" t="s">
        <v>130</v>
      </c>
    </row>
    <row r="44" spans="1:8" x14ac:dyDescent="0.35">
      <c r="A44" s="4">
        <v>21</v>
      </c>
      <c r="B44" s="5" t="s">
        <v>131</v>
      </c>
      <c r="C44" s="5" t="s">
        <v>132</v>
      </c>
      <c r="D44" s="4" t="s">
        <v>45</v>
      </c>
      <c r="E44" s="6">
        <v>6</v>
      </c>
      <c r="F44" s="7">
        <v>12</v>
      </c>
      <c r="G44" s="8">
        <f t="shared" si="1"/>
        <v>72</v>
      </c>
      <c r="H44" s="5" t="s">
        <v>133</v>
      </c>
    </row>
    <row r="45" spans="1:8" x14ac:dyDescent="0.35">
      <c r="A45" s="4">
        <v>22</v>
      </c>
      <c r="B45" s="5" t="s">
        <v>134</v>
      </c>
      <c r="C45" s="5" t="s">
        <v>135</v>
      </c>
      <c r="D45" s="4" t="s">
        <v>45</v>
      </c>
      <c r="E45" s="6">
        <v>30</v>
      </c>
      <c r="F45" s="7">
        <v>4</v>
      </c>
      <c r="G45" s="8">
        <f t="shared" si="1"/>
        <v>120</v>
      </c>
      <c r="H45" s="5" t="s">
        <v>136</v>
      </c>
    </row>
    <row r="46" spans="1:8" ht="25" x14ac:dyDescent="0.35">
      <c r="A46" s="4">
        <v>23</v>
      </c>
      <c r="B46" s="5" t="s">
        <v>137</v>
      </c>
      <c r="C46" s="5" t="s">
        <v>138</v>
      </c>
      <c r="D46" s="4" t="s">
        <v>11</v>
      </c>
      <c r="E46" s="6">
        <v>280</v>
      </c>
      <c r="F46" s="7">
        <v>1</v>
      </c>
      <c r="G46" s="8">
        <f t="shared" si="1"/>
        <v>280</v>
      </c>
      <c r="H46" s="5" t="s">
        <v>139</v>
      </c>
    </row>
    <row r="47" spans="1:8" x14ac:dyDescent="0.35">
      <c r="A47" s="9"/>
      <c r="B47" s="10" t="s">
        <v>140</v>
      </c>
      <c r="C47" s="9"/>
      <c r="D47" s="9"/>
      <c r="E47" s="9"/>
      <c r="F47" s="9"/>
      <c r="G47" s="11">
        <f>SUM(G24:G46)</f>
        <v>5995</v>
      </c>
      <c r="H47" s="9"/>
    </row>
    <row r="49" spans="1:8" ht="15" customHeight="1" x14ac:dyDescent="0.35">
      <c r="A49" s="2" t="s">
        <v>141</v>
      </c>
      <c r="B49" s="2"/>
      <c r="C49" s="2"/>
      <c r="D49" s="2"/>
      <c r="E49" s="2"/>
      <c r="F49" s="2"/>
      <c r="G49" s="2"/>
      <c r="H49" s="2"/>
    </row>
    <row r="50" spans="1:8" x14ac:dyDescent="0.35">
      <c r="A50" s="4">
        <v>1</v>
      </c>
      <c r="B50" s="5" t="s">
        <v>142</v>
      </c>
      <c r="C50" s="5" t="s">
        <v>143</v>
      </c>
      <c r="D50" s="4" t="s">
        <v>144</v>
      </c>
      <c r="E50" s="6">
        <v>1900</v>
      </c>
      <c r="F50" s="7">
        <v>1</v>
      </c>
      <c r="G50" s="8">
        <f t="shared" ref="G50:G55" si="2">E50*F50</f>
        <v>1900</v>
      </c>
      <c r="H50" s="5" t="s">
        <v>145</v>
      </c>
    </row>
    <row r="51" spans="1:8" x14ac:dyDescent="0.35">
      <c r="A51" s="4">
        <v>2</v>
      </c>
      <c r="B51" s="5" t="s">
        <v>146</v>
      </c>
      <c r="C51" s="5" t="s">
        <v>147</v>
      </c>
      <c r="D51" s="4" t="s">
        <v>148</v>
      </c>
      <c r="E51" s="6">
        <v>700</v>
      </c>
      <c r="F51" s="7">
        <v>1</v>
      </c>
      <c r="G51" s="8">
        <f t="shared" si="2"/>
        <v>700</v>
      </c>
      <c r="H51" s="5" t="s">
        <v>149</v>
      </c>
    </row>
    <row r="52" spans="1:8" x14ac:dyDescent="0.35">
      <c r="A52" s="4">
        <v>3</v>
      </c>
      <c r="B52" s="5" t="s">
        <v>150</v>
      </c>
      <c r="C52" s="5" t="s">
        <v>151</v>
      </c>
      <c r="D52" s="4" t="s">
        <v>45</v>
      </c>
      <c r="E52" s="6">
        <v>600</v>
      </c>
      <c r="F52" s="7">
        <v>1</v>
      </c>
      <c r="G52" s="8">
        <f t="shared" si="2"/>
        <v>600</v>
      </c>
      <c r="H52" s="5" t="s">
        <v>152</v>
      </c>
    </row>
    <row r="53" spans="1:8" x14ac:dyDescent="0.35">
      <c r="A53" s="4">
        <v>4</v>
      </c>
      <c r="B53" s="5" t="s">
        <v>153</v>
      </c>
      <c r="C53" s="5" t="s">
        <v>154</v>
      </c>
      <c r="D53" s="4" t="s">
        <v>45</v>
      </c>
      <c r="E53" s="6">
        <v>350</v>
      </c>
      <c r="F53" s="7">
        <v>1</v>
      </c>
      <c r="G53" s="8">
        <f t="shared" si="2"/>
        <v>350</v>
      </c>
      <c r="H53" s="5" t="s">
        <v>155</v>
      </c>
    </row>
    <row r="54" spans="1:8" x14ac:dyDescent="0.35">
      <c r="A54" s="4">
        <v>5</v>
      </c>
      <c r="B54" s="5" t="s">
        <v>156</v>
      </c>
      <c r="C54" s="5" t="s">
        <v>157</v>
      </c>
      <c r="D54" s="4" t="s">
        <v>45</v>
      </c>
      <c r="E54" s="6">
        <v>280</v>
      </c>
      <c r="F54" s="7">
        <v>1</v>
      </c>
      <c r="G54" s="8">
        <f t="shared" si="2"/>
        <v>280</v>
      </c>
      <c r="H54" s="5" t="s">
        <v>158</v>
      </c>
    </row>
    <row r="55" spans="1:8" x14ac:dyDescent="0.35">
      <c r="A55" s="4">
        <v>6</v>
      </c>
      <c r="B55" s="5" t="s">
        <v>159</v>
      </c>
      <c r="C55" s="5" t="s">
        <v>160</v>
      </c>
      <c r="D55" s="4" t="s">
        <v>49</v>
      </c>
      <c r="E55" s="6">
        <v>280</v>
      </c>
      <c r="F55" s="7">
        <v>1</v>
      </c>
      <c r="G55" s="8">
        <f t="shared" si="2"/>
        <v>280</v>
      </c>
      <c r="H55" s="5" t="s">
        <v>161</v>
      </c>
    </row>
    <row r="56" spans="1:8" x14ac:dyDescent="0.35">
      <c r="A56" s="9"/>
      <c r="B56" s="10" t="s">
        <v>162</v>
      </c>
      <c r="C56" s="9"/>
      <c r="D56" s="9"/>
      <c r="E56" s="9"/>
      <c r="F56" s="9"/>
      <c r="G56" s="11">
        <f>SUM(G50:G55)</f>
        <v>4110</v>
      </c>
      <c r="H56" s="9"/>
    </row>
    <row r="58" spans="1:8" ht="15" customHeight="1" x14ac:dyDescent="0.35">
      <c r="A58" s="2" t="s">
        <v>163</v>
      </c>
      <c r="B58" s="2"/>
      <c r="C58" s="2"/>
      <c r="D58" s="2"/>
      <c r="E58" s="2"/>
      <c r="F58" s="2"/>
      <c r="G58" s="2"/>
      <c r="H58" s="2"/>
    </row>
    <row r="59" spans="1:8" x14ac:dyDescent="0.35">
      <c r="A59" s="4">
        <v>1</v>
      </c>
      <c r="B59" s="5" t="s">
        <v>164</v>
      </c>
      <c r="C59" s="5" t="s">
        <v>165</v>
      </c>
      <c r="D59" s="4" t="s">
        <v>19</v>
      </c>
      <c r="E59" s="6">
        <v>250</v>
      </c>
      <c r="F59" s="7">
        <v>1</v>
      </c>
      <c r="G59" s="8">
        <f t="shared" ref="G59:G65" si="3">E59*F59</f>
        <v>250</v>
      </c>
      <c r="H59" s="5" t="s">
        <v>166</v>
      </c>
    </row>
    <row r="60" spans="1:8" x14ac:dyDescent="0.35">
      <c r="A60" s="4">
        <v>2</v>
      </c>
      <c r="B60" s="5" t="s">
        <v>167</v>
      </c>
      <c r="C60" s="5" t="s">
        <v>168</v>
      </c>
      <c r="D60" s="4" t="s">
        <v>45</v>
      </c>
      <c r="E60" s="6">
        <v>350</v>
      </c>
      <c r="F60" s="7">
        <v>1</v>
      </c>
      <c r="G60" s="8">
        <f t="shared" si="3"/>
        <v>350</v>
      </c>
      <c r="H60" s="5" t="s">
        <v>169</v>
      </c>
    </row>
    <row r="61" spans="1:8" x14ac:dyDescent="0.35">
      <c r="A61" s="4">
        <v>3</v>
      </c>
      <c r="B61" s="5" t="s">
        <v>170</v>
      </c>
      <c r="C61" s="5" t="s">
        <v>171</v>
      </c>
      <c r="D61" s="4" t="s">
        <v>45</v>
      </c>
      <c r="E61" s="6">
        <v>250</v>
      </c>
      <c r="F61" s="7">
        <v>1</v>
      </c>
      <c r="G61" s="8">
        <f t="shared" si="3"/>
        <v>250</v>
      </c>
      <c r="H61" s="5" t="s">
        <v>172</v>
      </c>
    </row>
    <row r="62" spans="1:8" x14ac:dyDescent="0.35">
      <c r="A62" s="4">
        <v>4</v>
      </c>
      <c r="B62" s="5" t="s">
        <v>173</v>
      </c>
      <c r="C62" s="5" t="s">
        <v>174</v>
      </c>
      <c r="D62" s="4" t="s">
        <v>19</v>
      </c>
      <c r="E62" s="6">
        <v>120</v>
      </c>
      <c r="F62" s="7">
        <v>1</v>
      </c>
      <c r="G62" s="8">
        <f t="shared" si="3"/>
        <v>120</v>
      </c>
      <c r="H62" s="5" t="s">
        <v>175</v>
      </c>
    </row>
    <row r="63" spans="1:8" x14ac:dyDescent="0.35">
      <c r="A63" s="4">
        <v>5</v>
      </c>
      <c r="B63" s="5" t="s">
        <v>176</v>
      </c>
      <c r="C63" s="5" t="s">
        <v>177</v>
      </c>
      <c r="D63" s="4" t="s">
        <v>19</v>
      </c>
      <c r="E63" s="6">
        <v>180</v>
      </c>
      <c r="F63" s="7">
        <v>1</v>
      </c>
      <c r="G63" s="8">
        <f t="shared" si="3"/>
        <v>180</v>
      </c>
      <c r="H63" s="5" t="s">
        <v>178</v>
      </c>
    </row>
    <row r="64" spans="1:8" x14ac:dyDescent="0.35">
      <c r="A64" s="4">
        <v>6</v>
      </c>
      <c r="B64" s="5" t="s">
        <v>179</v>
      </c>
      <c r="C64" s="5" t="s">
        <v>180</v>
      </c>
      <c r="D64" s="4" t="s">
        <v>45</v>
      </c>
      <c r="E64" s="6">
        <v>450</v>
      </c>
      <c r="F64" s="7">
        <v>1</v>
      </c>
      <c r="G64" s="8">
        <f t="shared" si="3"/>
        <v>450</v>
      </c>
      <c r="H64" s="5" t="s">
        <v>181</v>
      </c>
    </row>
    <row r="65" spans="1:8" x14ac:dyDescent="0.35">
      <c r="A65" s="4">
        <v>7</v>
      </c>
      <c r="B65" s="5" t="s">
        <v>182</v>
      </c>
      <c r="C65" s="5" t="s">
        <v>183</v>
      </c>
      <c r="D65" s="4" t="s">
        <v>19</v>
      </c>
      <c r="E65" s="6">
        <v>250</v>
      </c>
      <c r="F65" s="7">
        <v>1</v>
      </c>
      <c r="G65" s="8">
        <f t="shared" si="3"/>
        <v>250</v>
      </c>
      <c r="H65" s="5" t="s">
        <v>184</v>
      </c>
    </row>
    <row r="66" spans="1:8" x14ac:dyDescent="0.35">
      <c r="A66" s="9"/>
      <c r="B66" s="10" t="s">
        <v>185</v>
      </c>
      <c r="C66" s="9"/>
      <c r="D66" s="9"/>
      <c r="E66" s="9"/>
      <c r="F66" s="9"/>
      <c r="G66" s="11">
        <f>SUM(G59:G65)</f>
        <v>1850</v>
      </c>
      <c r="H66" s="9"/>
    </row>
    <row r="68" spans="1:8" ht="15.5" x14ac:dyDescent="0.35">
      <c r="A68" s="9"/>
      <c r="B68" s="12" t="s">
        <v>186</v>
      </c>
      <c r="C68" s="9"/>
      <c r="D68" s="9"/>
      <c r="E68" s="9"/>
      <c r="F68" s="9"/>
      <c r="G68" s="13">
        <f>G21+G47+G56+G66</f>
        <v>24825</v>
      </c>
      <c r="H68" s="9"/>
    </row>
    <row r="70" spans="1:8" x14ac:dyDescent="0.35">
      <c r="B70" s="14" t="s">
        <v>187</v>
      </c>
    </row>
    <row r="71" spans="1:8" x14ac:dyDescent="0.35">
      <c r="B71" s="1" t="s">
        <v>188</v>
      </c>
      <c r="C71" s="1"/>
      <c r="D71" s="1"/>
      <c r="E71" s="1"/>
      <c r="F71" s="1"/>
      <c r="G71" s="1"/>
      <c r="H71" s="1"/>
    </row>
    <row r="72" spans="1:8" x14ac:dyDescent="0.35">
      <c r="B72" s="1" t="s">
        <v>189</v>
      </c>
      <c r="C72" s="1"/>
      <c r="D72" s="1"/>
      <c r="E72" s="1"/>
      <c r="F72" s="1"/>
      <c r="G72" s="1"/>
      <c r="H72" s="1"/>
    </row>
    <row r="73" spans="1:8" x14ac:dyDescent="0.35">
      <c r="B73" s="1" t="s">
        <v>190</v>
      </c>
      <c r="C73" s="1"/>
      <c r="D73" s="1"/>
      <c r="E73" s="1"/>
      <c r="F73" s="1"/>
      <c r="G73" s="1"/>
      <c r="H73" s="1"/>
    </row>
    <row r="74" spans="1:8" x14ac:dyDescent="0.35">
      <c r="B74" s="1" t="s">
        <v>191</v>
      </c>
      <c r="C74" s="1"/>
      <c r="D74" s="1"/>
      <c r="E74" s="1"/>
      <c r="F74" s="1"/>
      <c r="G74" s="1"/>
      <c r="H74" s="1"/>
    </row>
    <row r="75" spans="1:8" x14ac:dyDescent="0.35">
      <c r="B75" s="1" t="s">
        <v>192</v>
      </c>
      <c r="C75" s="1"/>
      <c r="D75" s="1"/>
      <c r="E75" s="1"/>
      <c r="F75" s="1"/>
      <c r="G75" s="1"/>
      <c r="H75" s="1"/>
    </row>
    <row r="76" spans="1:8" x14ac:dyDescent="0.35">
      <c r="B76" s="1" t="s">
        <v>193</v>
      </c>
      <c r="C76" s="1"/>
      <c r="D76" s="1"/>
      <c r="E76" s="1"/>
      <c r="F76" s="1"/>
      <c r="G76" s="1"/>
      <c r="H76" s="1"/>
    </row>
  </sheetData>
  <mergeCells count="10">
    <mergeCell ref="B72:H72"/>
    <mergeCell ref="B73:H73"/>
    <mergeCell ref="B74:H74"/>
    <mergeCell ref="B75:H75"/>
    <mergeCell ref="B76:H76"/>
    <mergeCell ref="A2:H2"/>
    <mergeCell ref="A23:H23"/>
    <mergeCell ref="A49:H49"/>
    <mergeCell ref="A58:H58"/>
    <mergeCell ref="B71:H7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Ian Kiogora</cp:lastModifiedBy>
  <cp:revision>0</cp:revision>
  <dcterms:created xsi:type="dcterms:W3CDTF">2026-05-01T05:42:26Z</dcterms:created>
  <dcterms:modified xsi:type="dcterms:W3CDTF">2026-05-02T06:19:28Z</dcterms:modified>
  <dc:language>en-US</dc:language>
</cp:coreProperties>
</file>